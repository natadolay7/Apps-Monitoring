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67D7AFF-CF71-2D42-B775-D271D235D335}" xr6:coauthVersionLast="47" xr6:coauthVersionMax="47" xr10:uidLastSave="{00000000-0000-0000-0000-000000000000}"/>
  <bookViews>
    <workbookView xWindow="0" yWindow="500" windowWidth="28440" windowHeight="15400" xr2:uid="{00000000-000D-0000-FFFF-FFFF00000000}"/>
  </bookViews>
  <sheets>
    <sheet name="Mei 2025" sheetId="4" r:id="rId1"/>
  </sheets>
  <definedNames>
    <definedName name="_xlnm.Print_Area" localSheetId="0">'Mei 2025'!$A$1:$G$110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E42" i="4"/>
  <c r="E12" i="4"/>
  <c r="E40" i="4"/>
  <c r="E23" i="4"/>
  <c r="E34" i="4"/>
  <c r="E33" i="4"/>
  <c r="E27" i="4"/>
  <c r="E26" i="4"/>
  <c r="E20" i="4"/>
  <c r="E19" i="4"/>
  <c r="E13" i="4"/>
  <c r="E37" i="4"/>
  <c r="E15" i="4"/>
  <c r="E30" i="4"/>
  <c r="E36" i="4"/>
  <c r="E35" i="4"/>
  <c r="E18" i="4"/>
  <c r="E24" i="4"/>
  <c r="E25" i="4"/>
  <c r="E31" i="4"/>
  <c r="E32" i="4"/>
  <c r="E41" i="4"/>
  <c r="E39" i="4"/>
  <c r="E28" i="4"/>
  <c r="E29" i="4" l="1"/>
  <c r="E22" i="4"/>
  <c r="E21" i="4"/>
  <c r="E16" i="4"/>
  <c r="E14" i="4"/>
  <c r="E50" i="4"/>
  <c r="E48" i="4"/>
  <c r="E44" i="4" l="1"/>
  <c r="E49" i="4" s="1"/>
  <c r="E52" i="4" s="1"/>
  <c r="E51" i="4" l="1"/>
</calcChain>
</file>

<file path=xl/sharedStrings.xml><?xml version="1.0" encoding="utf-8"?>
<sst xmlns="http://schemas.openxmlformats.org/spreadsheetml/2006/main" count="51" uniqueCount="29">
  <si>
    <t>Consultant Timesheet</t>
  </si>
  <si>
    <t>Consultant Name</t>
  </si>
  <si>
    <t>Period</t>
  </si>
  <si>
    <t xml:space="preserve">No. </t>
  </si>
  <si>
    <t>Date</t>
  </si>
  <si>
    <t>Time in</t>
  </si>
  <si>
    <t>Time Out</t>
  </si>
  <si>
    <t>Duration
(hour:minute)</t>
  </si>
  <si>
    <t>Consultant 
Sign</t>
  </si>
  <si>
    <t>Task</t>
  </si>
  <si>
    <t>Total Duration</t>
  </si>
  <si>
    <t>Total Onsite</t>
  </si>
  <si>
    <t>(Hours)</t>
  </si>
  <si>
    <t>Leave</t>
  </si>
  <si>
    <t>Working Hours/Days</t>
  </si>
  <si>
    <t>Overtime</t>
  </si>
  <si>
    <t>Remaining time</t>
  </si>
  <si>
    <t>Acknowledged / Approved by :</t>
  </si>
  <si>
    <t>Position - Client</t>
  </si>
  <si>
    <t>This Month Effective Days</t>
  </si>
  <si>
    <t xml:space="preserve"> </t>
  </si>
  <si>
    <t>Rewinto mahadewo restu</t>
  </si>
  <si>
    <t>Cms Cpe</t>
  </si>
  <si>
    <t>Go Lang Register</t>
  </si>
  <si>
    <t>cms cpe Ott</t>
  </si>
  <si>
    <t>cms cpe Manajemen menu</t>
  </si>
  <si>
    <t>Go lang chek api</t>
  </si>
  <si>
    <t>CPE Development - PT Link Net</t>
  </si>
  <si>
    <t>Date : 29 Juli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</si>
</sst>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F400]h:mm:ss\ AM/PM"/>
    <numFmt numFmtId="166" formatCode="[h]:mm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21" applyNumberFormat="0" applyFill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7" fontId="5" fillId="0" borderId="2" xfId="0" applyNumberFormat="1" applyFont="1" applyBorder="1" applyAlignment="1">
      <alignment horizontal="left" vertical="center"/>
    </xf>
    <xf numFmtId="20" fontId="1" fillId="2" borderId="7" xfId="0" quotePrefix="1" applyNumberFormat="1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top"/>
    </xf>
    <xf numFmtId="20" fontId="2" fillId="2" borderId="9" xfId="0" applyNumberFormat="1" applyFont="1" applyFill="1" applyBorder="1" applyAlignment="1">
      <alignment horizontal="left" vertical="center"/>
    </xf>
    <xf numFmtId="20" fontId="2" fillId="2" borderId="10" xfId="0" applyNumberFormat="1" applyFont="1" applyFill="1" applyBorder="1" applyAlignment="1">
      <alignment horizontal="left" vertical="center"/>
    </xf>
    <xf numFmtId="20" fontId="2" fillId="2" borderId="11" xfId="0" applyNumberFormat="1" applyFont="1" applyFill="1" applyBorder="1" applyAlignment="1">
      <alignment horizontal="left" vertical="center"/>
    </xf>
    <xf numFmtId="20" fontId="2" fillId="2" borderId="12" xfId="0" applyNumberFormat="1" applyFont="1" applyFill="1" applyBorder="1" applyAlignment="1">
      <alignment horizontal="left" vertical="center"/>
    </xf>
    <xf numFmtId="20" fontId="2" fillId="2" borderId="13" xfId="0" applyNumberFormat="1" applyFont="1" applyFill="1" applyBorder="1" applyAlignment="1">
      <alignment horizontal="left" vertical="center"/>
    </xf>
    <xf numFmtId="20" fontId="2" fillId="2" borderId="14" xfId="0" applyNumberFormat="1" applyFont="1" applyFill="1" applyBorder="1" applyAlignment="1">
      <alignment horizontal="left" vertical="center"/>
    </xf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top"/>
    </xf>
    <xf numFmtId="20" fontId="1" fillId="2" borderId="0" xfId="0" quotePrefix="1" applyNumberFormat="1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6" fontId="0" fillId="2" borderId="0" xfId="0" quotePrefix="1" applyNumberFormat="1" applyFill="1" applyAlignment="1">
      <alignment horizontal="center" vertical="top"/>
    </xf>
    <xf numFmtId="1" fontId="1" fillId="2" borderId="0" xfId="0" quotePrefix="1" applyNumberFormat="1" applyFont="1" applyFill="1" applyAlignment="1">
      <alignment horizontal="center" vertical="top"/>
    </xf>
    <xf numFmtId="166" fontId="0" fillId="0" borderId="16" xfId="0" applyNumberFormat="1" applyBorder="1"/>
    <xf numFmtId="166" fontId="0" fillId="0" borderId="17" xfId="0" applyNumberFormat="1" applyBorder="1"/>
    <xf numFmtId="1" fontId="0" fillId="2" borderId="15" xfId="0" quotePrefix="1" applyNumberFormat="1" applyFill="1" applyBorder="1" applyAlignment="1">
      <alignment horizontal="center" vertical="top"/>
    </xf>
    <xf numFmtId="166" fontId="0" fillId="0" borderId="0" xfId="0" applyNumberFormat="1"/>
    <xf numFmtId="0" fontId="0" fillId="0" borderId="0" xfId="0" quotePrefix="1"/>
    <xf numFmtId="1" fontId="0" fillId="0" borderId="16" xfId="0" applyNumberFormat="1" applyBorder="1"/>
    <xf numFmtId="0" fontId="3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20" fontId="2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2" fillId="0" borderId="20" xfId="0" applyFont="1" applyBorder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vertical="top"/>
    </xf>
    <xf numFmtId="0" fontId="0" fillId="2" borderId="8" xfId="0" applyFill="1" applyBorder="1" applyAlignment="1">
      <alignment vertical="top"/>
    </xf>
    <xf numFmtId="20" fontId="1" fillId="2" borderId="7" xfId="0" quotePrefix="1" applyNumberFormat="1" applyFont="1" applyFill="1" applyBorder="1" applyAlignment="1">
      <alignment vertical="top"/>
    </xf>
    <xf numFmtId="0" fontId="5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20" fontId="1" fillId="3" borderId="7" xfId="0" quotePrefix="1" applyNumberFormat="1" applyFont="1" applyFill="1" applyBorder="1" applyAlignment="1">
      <alignment horizontal="center" vertical="top"/>
    </xf>
    <xf numFmtId="0" fontId="2" fillId="3" borderId="7" xfId="0" applyFont="1" applyFill="1" applyBorder="1" applyAlignment="1">
      <alignment vertical="top"/>
    </xf>
    <xf numFmtId="0" fontId="0" fillId="3" borderId="8" xfId="0" applyFill="1" applyBorder="1" applyAlignment="1">
      <alignment vertical="top"/>
    </xf>
    <xf numFmtId="20" fontId="1" fillId="3" borderId="7" xfId="0" quotePrefix="1" applyNumberFormat="1" applyFont="1" applyFill="1" applyBorder="1" applyAlignment="1">
      <alignment vertical="top"/>
    </xf>
    <xf numFmtId="20" fontId="6" fillId="3" borderId="7" xfId="0" quotePrefix="1" applyNumberFormat="1" applyFont="1" applyFill="1" applyBorder="1" applyAlignment="1">
      <alignment vertical="top"/>
    </xf>
    <xf numFmtId="0" fontId="1" fillId="3" borderId="7" xfId="0" quotePrefix="1" applyFont="1" applyFill="1" applyBorder="1" applyAlignment="1">
      <alignment vertical="top"/>
    </xf>
    <xf numFmtId="20" fontId="6" fillId="2" borderId="7" xfId="0" quotePrefix="1" applyNumberFormat="1" applyFont="1" applyFill="1" applyBorder="1" applyAlignment="1">
      <alignment vertical="top"/>
    </xf>
    <xf numFmtId="20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Judul 2" xfId="1" builtinId="17"/>
    <cellStyle name="Normal" xfId="0" builtinId="0"/>
  </cellStyles>
  <dxfs count="2">
    <dxf>
      <numFmt numFmtId="167" formatCode="0.00_);[Red]\(0.00\)"/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295275</xdr:colOff>
      <xdr:row>2</xdr:row>
      <xdr:rowOff>91016</xdr:rowOff>
    </xdr:to>
    <xdr:sp macro="" textlink="">
      <xdr:nvSpPr>
        <xdr:cNvPr id="2" name="AutoShape 5" descr="Image result for sinarmas distribusi nusantar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65760"/>
          <a:ext cx="295275" cy="273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44903</xdr:colOff>
      <xdr:row>0</xdr:row>
      <xdr:rowOff>34018</xdr:rowOff>
    </xdr:from>
    <xdr:to>
      <xdr:col>1</xdr:col>
      <xdr:colOff>873577</xdr:colOff>
      <xdr:row>3</xdr:row>
      <xdr:rowOff>129267</xdr:rowOff>
    </xdr:to>
    <xdr:pic>
      <xdr:nvPicPr>
        <xdr:cNvPr id="6" name="Picture 5" descr="A close up of a logo&#10;&#10;Description automatically generated">
          <a:extLst>
            <a:ext uri="{FF2B5EF4-FFF2-40B4-BE49-F238E27FC236}">
              <a16:creationId xmlns:a16="http://schemas.microsoft.com/office/drawing/2014/main" id="{EAE18FF3-7CE3-4D95-AFF0-6BF1782B4C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03" y="34018"/>
          <a:ext cx="1168853" cy="843642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139701</xdr:colOff>
      <xdr:row>41</xdr:row>
      <xdr:rowOff>30842</xdr:rowOff>
    </xdr:from>
    <xdr:to>
      <xdr:col>5</xdr:col>
      <xdr:colOff>558801</xdr:colOff>
      <xdr:row>41</xdr:row>
      <xdr:rowOff>177799</xdr:rowOff>
    </xdr:to>
    <xdr:pic>
      <xdr:nvPicPr>
        <xdr:cNvPr id="3" name="Gambar 2">
          <a:extLst>
            <a:ext uri="{FF2B5EF4-FFF2-40B4-BE49-F238E27FC236}">
              <a16:creationId xmlns:a16="http://schemas.microsoft.com/office/drawing/2014/main" id="{BA93CAB3-FBC4-9D4F-AE07-2E5F8715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0701" y="8450942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199572</xdr:colOff>
      <xdr:row>40</xdr:row>
      <xdr:rowOff>27213</xdr:rowOff>
    </xdr:from>
    <xdr:to>
      <xdr:col>5</xdr:col>
      <xdr:colOff>618672</xdr:colOff>
      <xdr:row>40</xdr:row>
      <xdr:rowOff>174170</xdr:rowOff>
    </xdr:to>
    <xdr:pic>
      <xdr:nvPicPr>
        <xdr:cNvPr id="5" name="Gambar 4">
          <a:extLst>
            <a:ext uri="{FF2B5EF4-FFF2-40B4-BE49-F238E27FC236}">
              <a16:creationId xmlns:a16="http://schemas.microsoft.com/office/drawing/2014/main" id="{BA66AB64-610D-4544-8BE4-1D9D1BBE4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9643" y="821871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117928</xdr:colOff>
      <xdr:row>39</xdr:row>
      <xdr:rowOff>36286</xdr:rowOff>
    </xdr:from>
    <xdr:to>
      <xdr:col>5</xdr:col>
      <xdr:colOff>537028</xdr:colOff>
      <xdr:row>39</xdr:row>
      <xdr:rowOff>183243</xdr:rowOff>
    </xdr:to>
    <xdr:pic>
      <xdr:nvPicPr>
        <xdr:cNvPr id="7" name="Gambar 6">
          <a:extLst>
            <a:ext uri="{FF2B5EF4-FFF2-40B4-BE49-F238E27FC236}">
              <a16:creationId xmlns:a16="http://schemas.microsoft.com/office/drawing/2014/main" id="{06CCBEE0-D272-F742-AA30-6380301F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7999" y="8037286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117928</xdr:colOff>
      <xdr:row>38</xdr:row>
      <xdr:rowOff>18143</xdr:rowOff>
    </xdr:from>
    <xdr:to>
      <xdr:col>5</xdr:col>
      <xdr:colOff>537028</xdr:colOff>
      <xdr:row>38</xdr:row>
      <xdr:rowOff>165100</xdr:rowOff>
    </xdr:to>
    <xdr:pic>
      <xdr:nvPicPr>
        <xdr:cNvPr id="8" name="Gambar 7">
          <a:extLst>
            <a:ext uri="{FF2B5EF4-FFF2-40B4-BE49-F238E27FC236}">
              <a16:creationId xmlns:a16="http://schemas.microsoft.com/office/drawing/2014/main" id="{5D38FBA7-179E-BF4A-B5A9-236F0C68E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7999" y="78286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35</xdr:row>
      <xdr:rowOff>18143</xdr:rowOff>
    </xdr:from>
    <xdr:to>
      <xdr:col>5</xdr:col>
      <xdr:colOff>500743</xdr:colOff>
      <xdr:row>35</xdr:row>
      <xdr:rowOff>165100</xdr:rowOff>
    </xdr:to>
    <xdr:pic>
      <xdr:nvPicPr>
        <xdr:cNvPr id="9" name="Gambar 8">
          <a:extLst>
            <a:ext uri="{FF2B5EF4-FFF2-40B4-BE49-F238E27FC236}">
              <a16:creationId xmlns:a16="http://schemas.microsoft.com/office/drawing/2014/main" id="{99C23004-6E94-244B-91B7-71B793C49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1714" y="72571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117928</xdr:colOff>
      <xdr:row>34</xdr:row>
      <xdr:rowOff>9071</xdr:rowOff>
    </xdr:from>
    <xdr:to>
      <xdr:col>5</xdr:col>
      <xdr:colOff>537028</xdr:colOff>
      <xdr:row>34</xdr:row>
      <xdr:rowOff>156028</xdr:rowOff>
    </xdr:to>
    <xdr:pic>
      <xdr:nvPicPr>
        <xdr:cNvPr id="10" name="Gambar 9">
          <a:extLst>
            <a:ext uri="{FF2B5EF4-FFF2-40B4-BE49-F238E27FC236}">
              <a16:creationId xmlns:a16="http://schemas.microsoft.com/office/drawing/2014/main" id="{8591BB82-123A-AF44-B5AC-37E409507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7999" y="7057571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33</xdr:row>
      <xdr:rowOff>9071</xdr:rowOff>
    </xdr:from>
    <xdr:to>
      <xdr:col>5</xdr:col>
      <xdr:colOff>500743</xdr:colOff>
      <xdr:row>33</xdr:row>
      <xdr:rowOff>156028</xdr:rowOff>
    </xdr:to>
    <xdr:pic>
      <xdr:nvPicPr>
        <xdr:cNvPr id="11" name="Gambar 10">
          <a:extLst>
            <a:ext uri="{FF2B5EF4-FFF2-40B4-BE49-F238E27FC236}">
              <a16:creationId xmlns:a16="http://schemas.microsoft.com/office/drawing/2014/main" id="{978903EF-5B29-174C-A0B4-A82119F21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1714" y="6867071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226785</xdr:colOff>
      <xdr:row>32</xdr:row>
      <xdr:rowOff>18143</xdr:rowOff>
    </xdr:from>
    <xdr:to>
      <xdr:col>5</xdr:col>
      <xdr:colOff>645885</xdr:colOff>
      <xdr:row>32</xdr:row>
      <xdr:rowOff>165100</xdr:rowOff>
    </xdr:to>
    <xdr:pic>
      <xdr:nvPicPr>
        <xdr:cNvPr id="12" name="Gambar 11">
          <a:extLst>
            <a:ext uri="{FF2B5EF4-FFF2-40B4-BE49-F238E27FC236}">
              <a16:creationId xmlns:a16="http://schemas.microsoft.com/office/drawing/2014/main" id="{5089B612-F436-E54B-B660-92D8BDB0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6856" y="66856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99786</xdr:colOff>
      <xdr:row>31</xdr:row>
      <xdr:rowOff>18143</xdr:rowOff>
    </xdr:from>
    <xdr:to>
      <xdr:col>5</xdr:col>
      <xdr:colOff>518886</xdr:colOff>
      <xdr:row>31</xdr:row>
      <xdr:rowOff>165100</xdr:rowOff>
    </xdr:to>
    <xdr:pic>
      <xdr:nvPicPr>
        <xdr:cNvPr id="13" name="Gambar 12">
          <a:extLst>
            <a:ext uri="{FF2B5EF4-FFF2-40B4-BE49-F238E27FC236}">
              <a16:creationId xmlns:a16="http://schemas.microsoft.com/office/drawing/2014/main" id="{C1075A7D-6967-D24F-8CA6-E2565C4AC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9857" y="64951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99785</xdr:colOff>
      <xdr:row>28</xdr:row>
      <xdr:rowOff>18143</xdr:rowOff>
    </xdr:from>
    <xdr:to>
      <xdr:col>5</xdr:col>
      <xdr:colOff>518885</xdr:colOff>
      <xdr:row>28</xdr:row>
      <xdr:rowOff>165100</xdr:rowOff>
    </xdr:to>
    <xdr:pic>
      <xdr:nvPicPr>
        <xdr:cNvPr id="14" name="Gambar 13">
          <a:extLst>
            <a:ext uri="{FF2B5EF4-FFF2-40B4-BE49-F238E27FC236}">
              <a16:creationId xmlns:a16="http://schemas.microsoft.com/office/drawing/2014/main" id="{BA456189-BA96-744F-B61E-6F405FB2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9856" y="59236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27</xdr:row>
      <xdr:rowOff>18143</xdr:rowOff>
    </xdr:from>
    <xdr:to>
      <xdr:col>5</xdr:col>
      <xdr:colOff>527957</xdr:colOff>
      <xdr:row>27</xdr:row>
      <xdr:rowOff>165100</xdr:rowOff>
    </xdr:to>
    <xdr:pic>
      <xdr:nvPicPr>
        <xdr:cNvPr id="15" name="Gambar 14">
          <a:extLst>
            <a:ext uri="{FF2B5EF4-FFF2-40B4-BE49-F238E27FC236}">
              <a16:creationId xmlns:a16="http://schemas.microsoft.com/office/drawing/2014/main" id="{F37BEE69-FFEF-5346-9A64-5DF49DF5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8928" y="57331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117928</xdr:colOff>
      <xdr:row>26</xdr:row>
      <xdr:rowOff>18143</xdr:rowOff>
    </xdr:from>
    <xdr:to>
      <xdr:col>5</xdr:col>
      <xdr:colOff>537028</xdr:colOff>
      <xdr:row>26</xdr:row>
      <xdr:rowOff>165100</xdr:rowOff>
    </xdr:to>
    <xdr:pic>
      <xdr:nvPicPr>
        <xdr:cNvPr id="16" name="Gambar 15">
          <a:extLst>
            <a:ext uri="{FF2B5EF4-FFF2-40B4-BE49-F238E27FC236}">
              <a16:creationId xmlns:a16="http://schemas.microsoft.com/office/drawing/2014/main" id="{58872022-C1A0-C849-AA3A-B4F34EC64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7999" y="5542643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25</xdr:row>
      <xdr:rowOff>9071</xdr:rowOff>
    </xdr:from>
    <xdr:to>
      <xdr:col>5</xdr:col>
      <xdr:colOff>527957</xdr:colOff>
      <xdr:row>25</xdr:row>
      <xdr:rowOff>156028</xdr:rowOff>
    </xdr:to>
    <xdr:pic>
      <xdr:nvPicPr>
        <xdr:cNvPr id="17" name="Gambar 16">
          <a:extLst>
            <a:ext uri="{FF2B5EF4-FFF2-40B4-BE49-F238E27FC236}">
              <a16:creationId xmlns:a16="http://schemas.microsoft.com/office/drawing/2014/main" id="{6C583735-49A3-CC49-BDA0-D5BC4D65B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8928" y="5343071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136071</xdr:colOff>
      <xdr:row>24</xdr:row>
      <xdr:rowOff>9072</xdr:rowOff>
    </xdr:from>
    <xdr:to>
      <xdr:col>5</xdr:col>
      <xdr:colOff>555171</xdr:colOff>
      <xdr:row>24</xdr:row>
      <xdr:rowOff>156029</xdr:rowOff>
    </xdr:to>
    <xdr:pic>
      <xdr:nvPicPr>
        <xdr:cNvPr id="18" name="Gambar 17">
          <a:extLst>
            <a:ext uri="{FF2B5EF4-FFF2-40B4-BE49-F238E27FC236}">
              <a16:creationId xmlns:a16="http://schemas.microsoft.com/office/drawing/2014/main" id="{5B3094DA-C76A-154A-850A-79D5B3AC4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6142" y="5152572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99786</xdr:colOff>
      <xdr:row>21</xdr:row>
      <xdr:rowOff>9072</xdr:rowOff>
    </xdr:from>
    <xdr:to>
      <xdr:col>5</xdr:col>
      <xdr:colOff>518886</xdr:colOff>
      <xdr:row>21</xdr:row>
      <xdr:rowOff>156029</xdr:rowOff>
    </xdr:to>
    <xdr:pic>
      <xdr:nvPicPr>
        <xdr:cNvPr id="19" name="Gambar 18">
          <a:extLst>
            <a:ext uri="{FF2B5EF4-FFF2-40B4-BE49-F238E27FC236}">
              <a16:creationId xmlns:a16="http://schemas.microsoft.com/office/drawing/2014/main" id="{598631C4-20DD-A148-BA7C-AF1CA676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9857" y="4572001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72572</xdr:colOff>
      <xdr:row>20</xdr:row>
      <xdr:rowOff>9072</xdr:rowOff>
    </xdr:from>
    <xdr:to>
      <xdr:col>5</xdr:col>
      <xdr:colOff>491672</xdr:colOff>
      <xdr:row>20</xdr:row>
      <xdr:rowOff>156029</xdr:rowOff>
    </xdr:to>
    <xdr:pic>
      <xdr:nvPicPr>
        <xdr:cNvPr id="20" name="Gambar 19">
          <a:extLst>
            <a:ext uri="{FF2B5EF4-FFF2-40B4-BE49-F238E27FC236}">
              <a16:creationId xmlns:a16="http://schemas.microsoft.com/office/drawing/2014/main" id="{1EACF048-FE8A-8049-9584-1F04C130A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2643" y="4381501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81643</xdr:colOff>
      <xdr:row>19</xdr:row>
      <xdr:rowOff>18143</xdr:rowOff>
    </xdr:from>
    <xdr:to>
      <xdr:col>5</xdr:col>
      <xdr:colOff>500743</xdr:colOff>
      <xdr:row>19</xdr:row>
      <xdr:rowOff>165100</xdr:rowOff>
    </xdr:to>
    <xdr:pic>
      <xdr:nvPicPr>
        <xdr:cNvPr id="21" name="Gambar 20">
          <a:extLst>
            <a:ext uri="{FF2B5EF4-FFF2-40B4-BE49-F238E27FC236}">
              <a16:creationId xmlns:a16="http://schemas.microsoft.com/office/drawing/2014/main" id="{DC1592F1-BBB7-164D-ADC7-947D096D1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1714" y="4200072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99785</xdr:colOff>
      <xdr:row>18</xdr:row>
      <xdr:rowOff>9071</xdr:rowOff>
    </xdr:from>
    <xdr:to>
      <xdr:col>5</xdr:col>
      <xdr:colOff>518885</xdr:colOff>
      <xdr:row>18</xdr:row>
      <xdr:rowOff>156028</xdr:rowOff>
    </xdr:to>
    <xdr:pic>
      <xdr:nvPicPr>
        <xdr:cNvPr id="22" name="Gambar 21">
          <a:extLst>
            <a:ext uri="{FF2B5EF4-FFF2-40B4-BE49-F238E27FC236}">
              <a16:creationId xmlns:a16="http://schemas.microsoft.com/office/drawing/2014/main" id="{C88DFF57-F476-8B45-BBCC-5E6BEC44C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9856" y="4000500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117928</xdr:colOff>
      <xdr:row>17</xdr:row>
      <xdr:rowOff>18143</xdr:rowOff>
    </xdr:from>
    <xdr:to>
      <xdr:col>5</xdr:col>
      <xdr:colOff>537028</xdr:colOff>
      <xdr:row>17</xdr:row>
      <xdr:rowOff>165100</xdr:rowOff>
    </xdr:to>
    <xdr:pic>
      <xdr:nvPicPr>
        <xdr:cNvPr id="23" name="Gambar 22">
          <a:extLst>
            <a:ext uri="{FF2B5EF4-FFF2-40B4-BE49-F238E27FC236}">
              <a16:creationId xmlns:a16="http://schemas.microsoft.com/office/drawing/2014/main" id="{09E65CEF-7125-5D42-844D-42E1FF18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7999" y="3819072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90715</xdr:colOff>
      <xdr:row>14</xdr:row>
      <xdr:rowOff>9072</xdr:rowOff>
    </xdr:from>
    <xdr:to>
      <xdr:col>5</xdr:col>
      <xdr:colOff>509815</xdr:colOff>
      <xdr:row>14</xdr:row>
      <xdr:rowOff>156029</xdr:rowOff>
    </xdr:to>
    <xdr:pic>
      <xdr:nvPicPr>
        <xdr:cNvPr id="24" name="Gambar 23">
          <a:extLst>
            <a:ext uri="{FF2B5EF4-FFF2-40B4-BE49-F238E27FC236}">
              <a16:creationId xmlns:a16="http://schemas.microsoft.com/office/drawing/2014/main" id="{BBD09478-D420-9D4F-8010-2A5899F41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0786" y="3220358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13</xdr:row>
      <xdr:rowOff>18143</xdr:rowOff>
    </xdr:from>
    <xdr:to>
      <xdr:col>5</xdr:col>
      <xdr:colOff>527957</xdr:colOff>
      <xdr:row>13</xdr:row>
      <xdr:rowOff>165100</xdr:rowOff>
    </xdr:to>
    <xdr:pic>
      <xdr:nvPicPr>
        <xdr:cNvPr id="25" name="Gambar 24">
          <a:extLst>
            <a:ext uri="{FF2B5EF4-FFF2-40B4-BE49-F238E27FC236}">
              <a16:creationId xmlns:a16="http://schemas.microsoft.com/office/drawing/2014/main" id="{FAC6BAF1-6428-C449-9C58-C3D9C34D4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8928" y="3029857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136072</xdr:colOff>
      <xdr:row>12</xdr:row>
      <xdr:rowOff>18143</xdr:rowOff>
    </xdr:from>
    <xdr:to>
      <xdr:col>5</xdr:col>
      <xdr:colOff>555172</xdr:colOff>
      <xdr:row>12</xdr:row>
      <xdr:rowOff>165100</xdr:rowOff>
    </xdr:to>
    <xdr:pic>
      <xdr:nvPicPr>
        <xdr:cNvPr id="26" name="Gambar 25">
          <a:extLst>
            <a:ext uri="{FF2B5EF4-FFF2-40B4-BE49-F238E27FC236}">
              <a16:creationId xmlns:a16="http://schemas.microsoft.com/office/drawing/2014/main" id="{549A1CD4-50D1-6942-9565-B79CBC13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6143" y="2830286"/>
          <a:ext cx="419100" cy="146957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11</xdr:row>
      <xdr:rowOff>27214</xdr:rowOff>
    </xdr:from>
    <xdr:to>
      <xdr:col>5</xdr:col>
      <xdr:colOff>527957</xdr:colOff>
      <xdr:row>11</xdr:row>
      <xdr:rowOff>174171</xdr:rowOff>
    </xdr:to>
    <xdr:pic>
      <xdr:nvPicPr>
        <xdr:cNvPr id="27" name="Gambar 26">
          <a:extLst>
            <a:ext uri="{FF2B5EF4-FFF2-40B4-BE49-F238E27FC236}">
              <a16:creationId xmlns:a16="http://schemas.microsoft.com/office/drawing/2014/main" id="{CD88C840-54CC-814E-9A8E-6B809397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8928" y="2639785"/>
          <a:ext cx="419100" cy="14695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9"/>
  <sheetViews>
    <sheetView showGridLines="0" tabSelected="1" topLeftCell="A36" zoomScale="140" zoomScaleNormal="140" workbookViewId="0">
      <selection activeCell="G19" sqref="G19"/>
    </sheetView>
  </sheetViews>
  <sheetFormatPr baseColWidth="10" defaultColWidth="9" defaultRowHeight="15" x14ac:dyDescent="0.2"/>
  <cols>
    <col min="1" max="1" width="5" bestFit="1" customWidth="1"/>
    <col min="2" max="2" width="14" customWidth="1"/>
    <col min="3" max="3" width="10.83203125" customWidth="1"/>
    <col min="4" max="4" width="10.33203125" customWidth="1"/>
    <col min="5" max="5" width="14.83203125" customWidth="1"/>
    <col min="6" max="6" width="11.5" bestFit="1" customWidth="1"/>
    <col min="7" max="7" width="56.33203125" bestFit="1" customWidth="1"/>
  </cols>
  <sheetData>
    <row r="1" spans="1:7" ht="29" x14ac:dyDescent="0.2">
      <c r="A1" s="1"/>
      <c r="B1" s="2"/>
      <c r="C1" s="64"/>
      <c r="D1" s="64"/>
      <c r="E1" s="64"/>
      <c r="F1" s="64"/>
      <c r="G1" s="64"/>
    </row>
    <row r="2" spans="1:7" x14ac:dyDescent="0.2">
      <c r="A2" s="2"/>
      <c r="B2" s="2"/>
      <c r="C2" s="2"/>
      <c r="D2" s="2"/>
      <c r="E2" s="1"/>
      <c r="F2" s="2"/>
      <c r="G2" s="2"/>
    </row>
    <row r="3" spans="1:7" x14ac:dyDescent="0.2">
      <c r="A3" s="1"/>
      <c r="B3" s="2"/>
      <c r="C3" s="2"/>
      <c r="D3" s="2"/>
      <c r="E3" s="1"/>
      <c r="F3" s="2"/>
      <c r="G3" s="2"/>
    </row>
    <row r="4" spans="1:7" ht="16" thickBot="1" x14ac:dyDescent="0.25">
      <c r="A4" s="2"/>
      <c r="B4" s="2"/>
      <c r="C4" s="2"/>
      <c r="D4" s="2"/>
      <c r="E4" s="1"/>
      <c r="F4" s="2"/>
      <c r="G4" s="2"/>
    </row>
    <row r="5" spans="1:7" ht="16" x14ac:dyDescent="0.2">
      <c r="A5" s="65" t="s">
        <v>0</v>
      </c>
      <c r="B5" s="66"/>
      <c r="C5" s="66"/>
      <c r="D5" s="66"/>
      <c r="E5" s="66"/>
      <c r="F5" s="66"/>
      <c r="G5" s="33"/>
    </row>
    <row r="6" spans="1:7" ht="16" x14ac:dyDescent="0.2">
      <c r="A6" s="34"/>
      <c r="B6" s="3"/>
      <c r="C6" s="3"/>
      <c r="D6" s="3"/>
      <c r="E6" s="3"/>
      <c r="F6" s="3"/>
      <c r="G6" s="35"/>
    </row>
    <row r="7" spans="1:7" ht="16" x14ac:dyDescent="0.2">
      <c r="A7" s="67" t="s">
        <v>1</v>
      </c>
      <c r="B7" s="68"/>
      <c r="C7" s="4" t="s">
        <v>21</v>
      </c>
      <c r="D7" s="4"/>
      <c r="E7" s="5"/>
      <c r="F7" s="6"/>
      <c r="G7" s="36"/>
    </row>
    <row r="8" spans="1:7" ht="16" x14ac:dyDescent="0.2">
      <c r="A8" s="67" t="s">
        <v>18</v>
      </c>
      <c r="B8" s="68"/>
      <c r="C8" s="7" t="s">
        <v>27</v>
      </c>
      <c r="D8" s="7"/>
      <c r="E8" s="8"/>
      <c r="F8" s="9"/>
      <c r="G8" s="36"/>
    </row>
    <row r="9" spans="1:7" ht="16" x14ac:dyDescent="0.2">
      <c r="A9" s="67" t="s">
        <v>2</v>
      </c>
      <c r="B9" s="68"/>
      <c r="C9" s="10"/>
      <c r="D9" s="7"/>
      <c r="E9" s="8"/>
      <c r="F9" s="9"/>
      <c r="G9" s="36"/>
    </row>
    <row r="10" spans="1:7" ht="17" thickBot="1" x14ac:dyDescent="0.25">
      <c r="A10" s="37"/>
      <c r="B10" s="38"/>
      <c r="C10" s="38"/>
      <c r="D10" s="38"/>
      <c r="E10" s="39"/>
      <c r="F10" s="40"/>
      <c r="G10" s="35"/>
    </row>
    <row r="11" spans="1:7" ht="35" thickBot="1" x14ac:dyDescent="0.25">
      <c r="A11" s="44" t="s">
        <v>3</v>
      </c>
      <c r="B11" s="45" t="s">
        <v>4</v>
      </c>
      <c r="C11" s="52" t="s">
        <v>5</v>
      </c>
      <c r="D11" s="52" t="s">
        <v>6</v>
      </c>
      <c r="E11" s="53" t="s">
        <v>7</v>
      </c>
      <c r="F11" s="53" t="s">
        <v>8</v>
      </c>
      <c r="G11" s="54" t="s">
        <v>9</v>
      </c>
    </row>
    <row r="12" spans="1:7" ht="16" x14ac:dyDescent="0.2">
      <c r="A12" s="46">
        <v>1</v>
      </c>
      <c r="B12" s="47">
        <v>45839</v>
      </c>
      <c r="C12" s="11">
        <v>0.33333333333333331</v>
      </c>
      <c r="D12" s="11">
        <v>0.70833333333333337</v>
      </c>
      <c r="E12" s="11">
        <f t="shared" ref="E12:E13" si="0">D12-C12</f>
        <v>0.37500000000000006</v>
      </c>
      <c r="F12" s="61"/>
      <c r="G12" s="61" t="s">
        <v>22</v>
      </c>
    </row>
    <row r="13" spans="1:7" ht="16" x14ac:dyDescent="0.2">
      <c r="A13" s="12">
        <v>2</v>
      </c>
      <c r="B13" s="47">
        <v>45840</v>
      </c>
      <c r="C13" s="11">
        <v>0.33333333333333331</v>
      </c>
      <c r="D13" s="11">
        <v>0.70833333333333337</v>
      </c>
      <c r="E13" s="11">
        <f t="shared" si="0"/>
        <v>0.37500000000000006</v>
      </c>
      <c r="F13" s="13"/>
      <c r="G13" s="61" t="s">
        <v>22</v>
      </c>
    </row>
    <row r="14" spans="1:7" ht="16" x14ac:dyDescent="0.2">
      <c r="A14" s="12">
        <v>3</v>
      </c>
      <c r="B14" s="47">
        <v>45841</v>
      </c>
      <c r="C14" s="11">
        <v>0.33333333333333331</v>
      </c>
      <c r="D14" s="11">
        <v>0.70833333333333337</v>
      </c>
      <c r="E14" s="11">
        <f t="shared" ref="E14:E15" si="1">D14-C14</f>
        <v>0.37500000000000006</v>
      </c>
      <c r="F14" s="13"/>
      <c r="G14" s="61" t="s">
        <v>22</v>
      </c>
    </row>
    <row r="15" spans="1:7" ht="16" x14ac:dyDescent="0.2">
      <c r="A15" s="12">
        <v>4</v>
      </c>
      <c r="B15" s="47">
        <v>45842</v>
      </c>
      <c r="C15" s="11">
        <v>0.33333333333333331</v>
      </c>
      <c r="D15" s="11">
        <v>0.70833333333333337</v>
      </c>
      <c r="E15" s="11">
        <f t="shared" si="1"/>
        <v>0.37500000000000006</v>
      </c>
      <c r="F15" s="13"/>
      <c r="G15" s="61" t="s">
        <v>22</v>
      </c>
    </row>
    <row r="16" spans="1:7" x14ac:dyDescent="0.2">
      <c r="A16" s="12">
        <v>5</v>
      </c>
      <c r="B16" s="47">
        <v>45843</v>
      </c>
      <c r="C16" s="55"/>
      <c r="D16" s="55"/>
      <c r="E16" s="55">
        <f t="shared" ref="E16:E20" si="2">D16-C16</f>
        <v>0</v>
      </c>
      <c r="F16" s="56"/>
      <c r="G16" s="57"/>
    </row>
    <row r="17" spans="1:7" ht="16" x14ac:dyDescent="0.2">
      <c r="A17" s="12">
        <v>6</v>
      </c>
      <c r="B17" s="47">
        <v>45844</v>
      </c>
      <c r="C17" s="59"/>
      <c r="D17" s="59"/>
      <c r="E17" s="55">
        <f t="shared" si="2"/>
        <v>0</v>
      </c>
      <c r="F17" s="59"/>
      <c r="G17" s="59"/>
    </row>
    <row r="18" spans="1:7" x14ac:dyDescent="0.2">
      <c r="A18" s="12">
        <v>7</v>
      </c>
      <c r="B18" s="47">
        <v>45845</v>
      </c>
      <c r="C18" s="11">
        <v>0.33333333333333331</v>
      </c>
      <c r="D18" s="11">
        <v>0.70833333333333337</v>
      </c>
      <c r="E18" s="11">
        <f t="shared" si="2"/>
        <v>0.37500000000000006</v>
      </c>
      <c r="F18" s="49"/>
      <c r="G18" s="50" t="s">
        <v>23</v>
      </c>
    </row>
    <row r="19" spans="1:7" x14ac:dyDescent="0.2">
      <c r="A19" s="12">
        <v>8</v>
      </c>
      <c r="B19" s="47">
        <v>45846</v>
      </c>
      <c r="C19" s="11">
        <v>0.33333333333333331</v>
      </c>
      <c r="D19" s="11">
        <v>0.70833333333333337</v>
      </c>
      <c r="E19" s="11">
        <f t="shared" si="2"/>
        <v>0.37500000000000006</v>
      </c>
      <c r="F19" s="13"/>
      <c r="G19" s="50" t="s">
        <v>23</v>
      </c>
    </row>
    <row r="20" spans="1:7" x14ac:dyDescent="0.2">
      <c r="A20" s="12">
        <v>9</v>
      </c>
      <c r="B20" s="47">
        <v>45847</v>
      </c>
      <c r="C20" s="11">
        <v>0.33333333333333331</v>
      </c>
      <c r="D20" s="11">
        <v>0.70833333333333337</v>
      </c>
      <c r="E20" s="11">
        <f t="shared" si="2"/>
        <v>0.37500000000000006</v>
      </c>
      <c r="F20" s="13"/>
      <c r="G20" s="50" t="s">
        <v>23</v>
      </c>
    </row>
    <row r="21" spans="1:7" x14ac:dyDescent="0.2">
      <c r="A21" s="12">
        <v>10</v>
      </c>
      <c r="B21" s="47">
        <v>45848</v>
      </c>
      <c r="C21" s="11">
        <v>0.33333333333333331</v>
      </c>
      <c r="D21" s="11">
        <v>0.70833333333333337</v>
      </c>
      <c r="E21" s="11">
        <f t="shared" ref="E21:E23" si="3">D21-C21</f>
        <v>0.37500000000000006</v>
      </c>
      <c r="F21" s="13"/>
      <c r="G21" s="50" t="s">
        <v>23</v>
      </c>
    </row>
    <row r="22" spans="1:7" x14ac:dyDescent="0.2">
      <c r="A22" s="12">
        <v>11</v>
      </c>
      <c r="B22" s="47">
        <v>45849</v>
      </c>
      <c r="C22" s="11">
        <v>0.33333333333333331</v>
      </c>
      <c r="D22" s="11">
        <v>0.70833333333333337</v>
      </c>
      <c r="E22" s="11">
        <f t="shared" si="3"/>
        <v>0.37500000000000006</v>
      </c>
      <c r="F22" s="13"/>
      <c r="G22" s="50" t="s">
        <v>23</v>
      </c>
    </row>
    <row r="23" spans="1:7" ht="16" x14ac:dyDescent="0.2">
      <c r="A23" s="12">
        <v>12</v>
      </c>
      <c r="B23" s="47">
        <v>45850</v>
      </c>
      <c r="C23" s="55"/>
      <c r="D23" s="55"/>
      <c r="E23" s="55">
        <f t="shared" si="3"/>
        <v>0</v>
      </c>
      <c r="F23" s="59"/>
      <c r="G23" s="57"/>
    </row>
    <row r="24" spans="1:7" x14ac:dyDescent="0.2">
      <c r="A24" s="12">
        <v>13</v>
      </c>
      <c r="B24" s="47">
        <v>45851</v>
      </c>
      <c r="C24" s="55"/>
      <c r="D24" s="55"/>
      <c r="E24" s="55">
        <f t="shared" ref="E24:E42" si="4">D24-C24</f>
        <v>0</v>
      </c>
      <c r="F24" s="60"/>
      <c r="G24" s="57"/>
    </row>
    <row r="25" spans="1:7" x14ac:dyDescent="0.2">
      <c r="A25" s="12">
        <v>14</v>
      </c>
      <c r="B25" s="47">
        <v>45852</v>
      </c>
      <c r="C25" s="11">
        <v>0.33333333333333331</v>
      </c>
      <c r="D25" s="11">
        <v>0.70833333333333337</v>
      </c>
      <c r="E25" s="11">
        <f t="shared" si="4"/>
        <v>0.37500000000000006</v>
      </c>
      <c r="F25" s="49"/>
      <c r="G25" s="50" t="s">
        <v>24</v>
      </c>
    </row>
    <row r="26" spans="1:7" x14ac:dyDescent="0.2">
      <c r="A26" s="12">
        <v>15</v>
      </c>
      <c r="B26" s="47">
        <v>45853</v>
      </c>
      <c r="C26" s="11">
        <v>0.33333333333333331</v>
      </c>
      <c r="D26" s="11">
        <v>0.70833333333333337</v>
      </c>
      <c r="E26" s="11">
        <f t="shared" si="4"/>
        <v>0.37500000000000006</v>
      </c>
      <c r="F26" s="13"/>
      <c r="G26" s="50" t="s">
        <v>24</v>
      </c>
    </row>
    <row r="27" spans="1:7" x14ac:dyDescent="0.2">
      <c r="A27" s="12">
        <v>16</v>
      </c>
      <c r="B27" s="47">
        <v>45854</v>
      </c>
      <c r="C27" s="11">
        <v>0.33333333333333331</v>
      </c>
      <c r="D27" s="11">
        <v>0.70833333333333337</v>
      </c>
      <c r="E27" s="11">
        <f t="shared" ref="E27" si="5">D27-C27</f>
        <v>0.37500000000000006</v>
      </c>
      <c r="F27" s="13"/>
      <c r="G27" s="50" t="s">
        <v>24</v>
      </c>
    </row>
    <row r="28" spans="1:7" x14ac:dyDescent="0.2">
      <c r="A28" s="12">
        <v>17</v>
      </c>
      <c r="B28" s="47">
        <v>45855</v>
      </c>
      <c r="C28" s="11">
        <v>0.33333333333333331</v>
      </c>
      <c r="D28" s="11">
        <v>0.70833333333333337</v>
      </c>
      <c r="E28" s="11">
        <f t="shared" ref="E28" si="6">D28-C28</f>
        <v>0.37500000000000006</v>
      </c>
      <c r="F28" s="13"/>
      <c r="G28" s="50" t="s">
        <v>24</v>
      </c>
    </row>
    <row r="29" spans="1:7" x14ac:dyDescent="0.2">
      <c r="A29" s="12">
        <v>18</v>
      </c>
      <c r="B29" s="47">
        <v>45856</v>
      </c>
      <c r="C29" s="11">
        <v>0.33333333333333331</v>
      </c>
      <c r="D29" s="11">
        <v>0.70833333333333337</v>
      </c>
      <c r="E29" s="11">
        <f t="shared" si="4"/>
        <v>0.37500000000000006</v>
      </c>
      <c r="F29" s="13"/>
      <c r="G29" s="50" t="s">
        <v>24</v>
      </c>
    </row>
    <row r="30" spans="1:7" x14ac:dyDescent="0.2">
      <c r="A30" s="12">
        <v>19</v>
      </c>
      <c r="B30" s="47">
        <v>45857</v>
      </c>
      <c r="C30" s="55"/>
      <c r="D30" s="55"/>
      <c r="E30" s="55">
        <f t="shared" si="4"/>
        <v>0</v>
      </c>
      <c r="F30" s="56"/>
      <c r="G30" s="57"/>
    </row>
    <row r="31" spans="1:7" x14ac:dyDescent="0.2">
      <c r="A31" s="12">
        <v>20</v>
      </c>
      <c r="B31" s="47">
        <v>45858</v>
      </c>
      <c r="C31" s="55"/>
      <c r="D31" s="55"/>
      <c r="E31" s="55">
        <f t="shared" si="4"/>
        <v>0</v>
      </c>
      <c r="F31" s="60"/>
      <c r="G31" s="57"/>
    </row>
    <row r="32" spans="1:7" x14ac:dyDescent="0.2">
      <c r="A32" s="12">
        <v>21</v>
      </c>
      <c r="B32" s="47">
        <v>45859</v>
      </c>
      <c r="C32" s="11">
        <v>0.33333333333333331</v>
      </c>
      <c r="D32" s="11">
        <v>0.70833333333333337</v>
      </c>
      <c r="E32" s="11">
        <f t="shared" si="4"/>
        <v>0.37500000000000006</v>
      </c>
      <c r="F32" s="49"/>
      <c r="G32" s="50" t="s">
        <v>25</v>
      </c>
    </row>
    <row r="33" spans="1:7" x14ac:dyDescent="0.2">
      <c r="A33" s="12">
        <v>22</v>
      </c>
      <c r="B33" s="47">
        <v>45860</v>
      </c>
      <c r="C33" s="11">
        <v>0.33333333333333331</v>
      </c>
      <c r="D33" s="11">
        <v>0.70833333333333337</v>
      </c>
      <c r="E33" s="11">
        <f t="shared" si="4"/>
        <v>0.37500000000000006</v>
      </c>
      <c r="F33" s="13"/>
      <c r="G33" s="50" t="s">
        <v>25</v>
      </c>
    </row>
    <row r="34" spans="1:7" x14ac:dyDescent="0.2">
      <c r="A34" s="12">
        <v>23</v>
      </c>
      <c r="B34" s="47">
        <v>45861</v>
      </c>
      <c r="C34" s="11">
        <v>0.33333333333333331</v>
      </c>
      <c r="D34" s="11">
        <v>0.70833333333333337</v>
      </c>
      <c r="E34" s="11">
        <f t="shared" si="4"/>
        <v>0.37500000000000006</v>
      </c>
      <c r="F34" s="51"/>
      <c r="G34" s="50" t="s">
        <v>25</v>
      </c>
    </row>
    <row r="35" spans="1:7" x14ac:dyDescent="0.2">
      <c r="A35" s="12">
        <v>24</v>
      </c>
      <c r="B35" s="47">
        <v>45862</v>
      </c>
      <c r="C35" s="11">
        <v>0.33333333333333331</v>
      </c>
      <c r="D35" s="11">
        <v>0.70833333333333337</v>
      </c>
      <c r="E35" s="11">
        <f t="shared" ref="E35:E36" si="7">D35-C35</f>
        <v>0.37500000000000006</v>
      </c>
      <c r="F35" s="13"/>
      <c r="G35" s="50" t="s">
        <v>25</v>
      </c>
    </row>
    <row r="36" spans="1:7" x14ac:dyDescent="0.2">
      <c r="A36" s="12">
        <v>25</v>
      </c>
      <c r="B36" s="47">
        <v>45863</v>
      </c>
      <c r="C36" s="11">
        <v>0.33333333333333331</v>
      </c>
      <c r="D36" s="11">
        <v>0.70833333333333337</v>
      </c>
      <c r="E36" s="11">
        <f t="shared" si="7"/>
        <v>0.37500000000000006</v>
      </c>
      <c r="F36" s="51"/>
      <c r="G36" s="50" t="s">
        <v>25</v>
      </c>
    </row>
    <row r="37" spans="1:7" x14ac:dyDescent="0.2">
      <c r="A37" s="12">
        <v>26</v>
      </c>
      <c r="B37" s="47">
        <v>45864</v>
      </c>
      <c r="C37" s="55"/>
      <c r="D37" s="55"/>
      <c r="E37" s="62">
        <f>D37-C37</f>
        <v>0</v>
      </c>
      <c r="F37" s="58"/>
      <c r="G37" s="57"/>
    </row>
    <row r="38" spans="1:7" x14ac:dyDescent="0.2">
      <c r="A38" s="12">
        <v>27</v>
      </c>
      <c r="B38" s="47">
        <v>45865</v>
      </c>
      <c r="C38" s="58"/>
      <c r="D38" s="58"/>
      <c r="E38" s="58"/>
      <c r="F38" s="58"/>
      <c r="G38" s="58"/>
    </row>
    <row r="39" spans="1:7" x14ac:dyDescent="0.2">
      <c r="A39" s="12">
        <v>28</v>
      </c>
      <c r="B39" s="47">
        <v>45866</v>
      </c>
      <c r="C39" s="11">
        <v>0.33333333333333331</v>
      </c>
      <c r="D39" s="11">
        <v>0.70833333333333337</v>
      </c>
      <c r="E39" s="11">
        <f t="shared" si="4"/>
        <v>0.37500000000000006</v>
      </c>
      <c r="F39" s="13"/>
      <c r="G39" s="50" t="s">
        <v>26</v>
      </c>
    </row>
    <row r="40" spans="1:7" x14ac:dyDescent="0.2">
      <c r="A40" s="12">
        <v>29</v>
      </c>
      <c r="B40" s="47">
        <v>45867</v>
      </c>
      <c r="C40" s="11">
        <v>0.33333333333333331</v>
      </c>
      <c r="D40" s="11">
        <v>0.70833333333333337</v>
      </c>
      <c r="E40" s="11">
        <f t="shared" si="4"/>
        <v>0.37500000000000006</v>
      </c>
      <c r="F40" s="51"/>
      <c r="G40" s="50" t="s">
        <v>26</v>
      </c>
    </row>
    <row r="41" spans="1:7" x14ac:dyDescent="0.2">
      <c r="A41" s="48">
        <v>30</v>
      </c>
      <c r="B41" s="47">
        <v>45868</v>
      </c>
      <c r="C41" s="11">
        <v>0.33333333333333331</v>
      </c>
      <c r="D41" s="11">
        <v>0.70833333333333337</v>
      </c>
      <c r="E41" s="11">
        <f t="shared" si="4"/>
        <v>0.37500000000000006</v>
      </c>
      <c r="F41" s="13"/>
      <c r="G41" s="50" t="s">
        <v>26</v>
      </c>
    </row>
    <row r="42" spans="1:7" x14ac:dyDescent="0.2">
      <c r="A42" s="48"/>
      <c r="B42" s="47">
        <v>45869</v>
      </c>
      <c r="C42" s="11">
        <v>0.33333333333333331</v>
      </c>
      <c r="D42" s="11">
        <v>0.70833333333333337</v>
      </c>
      <c r="E42" s="11">
        <f t="shared" si="4"/>
        <v>0.37500000000000006</v>
      </c>
      <c r="F42" s="51"/>
      <c r="G42" s="50" t="s">
        <v>26</v>
      </c>
    </row>
    <row r="43" spans="1:7" x14ac:dyDescent="0.2">
      <c r="D43" s="11"/>
    </row>
    <row r="44" spans="1:7" x14ac:dyDescent="0.2">
      <c r="A44" s="21"/>
      <c r="B44" s="22"/>
      <c r="C44" s="23"/>
      <c r="D44" s="26">
        <v>23</v>
      </c>
      <c r="E44" s="25">
        <f>SUM(E12:E42)</f>
        <v>8.6250000000000018</v>
      </c>
      <c r="F44" s="24"/>
      <c r="G44" s="24"/>
    </row>
    <row r="45" spans="1:7" ht="16" thickBot="1" x14ac:dyDescent="0.25">
      <c r="A45" s="21"/>
      <c r="B45" s="22"/>
      <c r="C45" s="23"/>
      <c r="D45" s="23"/>
      <c r="E45" s="23"/>
      <c r="F45" s="24"/>
      <c r="G45" s="24"/>
    </row>
    <row r="46" spans="1:7" x14ac:dyDescent="0.2">
      <c r="C46" s="14" t="s">
        <v>19</v>
      </c>
      <c r="D46" s="15"/>
      <c r="E46" s="29">
        <v>23</v>
      </c>
      <c r="F46" s="20"/>
      <c r="G46" t="s">
        <v>17</v>
      </c>
    </row>
    <row r="47" spans="1:7" x14ac:dyDescent="0.2">
      <c r="C47" s="16" t="s">
        <v>14</v>
      </c>
      <c r="D47" s="17" t="s">
        <v>12</v>
      </c>
      <c r="E47" s="27">
        <v>0.375</v>
      </c>
      <c r="F47" s="20"/>
      <c r="G47" s="63"/>
    </row>
    <row r="48" spans="1:7" x14ac:dyDescent="0.2">
      <c r="C48" s="16" t="s">
        <v>10</v>
      </c>
      <c r="D48" s="17" t="s">
        <v>12</v>
      </c>
      <c r="E48" s="27">
        <f>E46*E47</f>
        <v>8.625</v>
      </c>
      <c r="F48" s="20"/>
      <c r="G48" s="63"/>
    </row>
    <row r="49" spans="2:7" x14ac:dyDescent="0.2">
      <c r="C49" s="16" t="s">
        <v>11</v>
      </c>
      <c r="D49" s="17" t="s">
        <v>12</v>
      </c>
      <c r="E49" s="27">
        <f>E44</f>
        <v>8.6250000000000018</v>
      </c>
      <c r="G49" s="63"/>
    </row>
    <row r="50" spans="2:7" x14ac:dyDescent="0.2">
      <c r="C50" s="16" t="s">
        <v>13</v>
      </c>
      <c r="D50" s="17"/>
      <c r="E50" s="32">
        <f>E46-D44</f>
        <v>0</v>
      </c>
      <c r="G50" s="63"/>
    </row>
    <row r="51" spans="2:7" x14ac:dyDescent="0.2">
      <c r="C51" s="16" t="s">
        <v>15</v>
      </c>
      <c r="D51" s="17" t="s">
        <v>12</v>
      </c>
      <c r="E51" s="27">
        <f>IF((E49-E48)&gt;TIME(0,0,0),(E49-E48),0)</f>
        <v>1.7763568394002505E-15</v>
      </c>
      <c r="G51" s="43"/>
    </row>
    <row r="52" spans="2:7" ht="16" thickBot="1" x14ac:dyDescent="0.25">
      <c r="C52" s="18" t="s">
        <v>16</v>
      </c>
      <c r="D52" s="19" t="s">
        <v>12</v>
      </c>
      <c r="E52" s="28">
        <f>IF((E48-E49)&gt;TIME(0,0,0),(E48-E49),0)</f>
        <v>0</v>
      </c>
      <c r="G52" s="42"/>
    </row>
    <row r="53" spans="2:7" x14ac:dyDescent="0.2">
      <c r="G53" t="s">
        <v>28</v>
      </c>
    </row>
    <row r="54" spans="2:7" x14ac:dyDescent="0.2">
      <c r="C54" s="41"/>
      <c r="E54" s="30"/>
    </row>
    <row r="55" spans="2:7" x14ac:dyDescent="0.2">
      <c r="B55" s="31"/>
    </row>
    <row r="56" spans="2:7" x14ac:dyDescent="0.2">
      <c r="B56" s="31"/>
      <c r="E56" s="31"/>
    </row>
    <row r="59" spans="2:7" x14ac:dyDescent="0.2">
      <c r="G59" t="s">
        <v>20</v>
      </c>
    </row>
  </sheetData>
  <mergeCells count="6">
    <mergeCell ref="G47:G50"/>
    <mergeCell ref="C1:G1"/>
    <mergeCell ref="A5:F5"/>
    <mergeCell ref="A7:B7"/>
    <mergeCell ref="A8:B8"/>
    <mergeCell ref="A9:B9"/>
  </mergeCells>
  <conditionalFormatting sqref="E51:E52">
    <cfRule type="cellIs" dxfId="1" priority="1" operator="less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5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Mei 2025</vt:lpstr>
      <vt:lpstr>'Mei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 santosa</dc:creator>
  <cp:lastModifiedBy>Microsoft Office User</cp:lastModifiedBy>
  <cp:lastPrinted>2025-05-28T06:22:54Z</cp:lastPrinted>
  <dcterms:created xsi:type="dcterms:W3CDTF">2018-08-14T04:25:32Z</dcterms:created>
  <dcterms:modified xsi:type="dcterms:W3CDTF">2025-07-29T05:03:27Z</dcterms:modified>
</cp:coreProperties>
</file>